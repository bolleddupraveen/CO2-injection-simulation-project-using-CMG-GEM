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77815C048CB88E/Documents/"/>
    </mc:Choice>
  </mc:AlternateContent>
  <xr:revisionPtr revIDLastSave="0" documentId="8_{C4A40C08-C865-409C-977C-511CD795C231}" xr6:coauthVersionLast="47" xr6:coauthVersionMax="47" xr10:uidLastSave="{00000000-0000-0000-0000-000000000000}"/>
  <bookViews>
    <workbookView xWindow="-120" yWindow="-120" windowWidth="29040" windowHeight="15720" xr2:uid="{C2AFD649-DBEE-4263-B286-FB9AFF1C75C5}"/>
  </bookViews>
  <sheets>
    <sheet name="ccs1 Pra.sr3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B22" i="2"/>
  <c r="B23" i="2"/>
  <c r="B24" i="2"/>
  <c r="B25" i="2"/>
  <c r="B26" i="2"/>
  <c r="B27" i="2"/>
  <c r="B28" i="2"/>
  <c r="B29" i="2"/>
  <c r="B30" i="2"/>
  <c r="B31" i="2"/>
  <c r="B32" i="2"/>
  <c r="B6" i="2"/>
  <c r="B7" i="2"/>
  <c r="B8" i="2"/>
  <c r="B9" i="2"/>
  <c r="B10" i="2"/>
  <c r="B11" i="2"/>
  <c r="B12" i="2"/>
  <c r="B13" i="2"/>
  <c r="B14" i="2"/>
  <c r="B15" i="2"/>
  <c r="B16" i="2"/>
  <c r="B17" i="2"/>
</calcChain>
</file>

<file path=xl/sharedStrings.xml><?xml version="1.0" encoding="utf-8"?>
<sst xmlns="http://schemas.openxmlformats.org/spreadsheetml/2006/main" count="53" uniqueCount="18">
  <si>
    <t>ccs1 Pra.sr3</t>
  </si>
  <si>
    <t>CO2 INJECTION-1</t>
  </si>
  <si>
    <t>Time (day)</t>
  </si>
  <si>
    <t>Date</t>
  </si>
  <si>
    <t>Cumulative Gas SC (m3)</t>
  </si>
  <si>
    <t>Cumulative Oil SC (m3)</t>
  </si>
  <si>
    <t>Cumulative Water SC (m3)</t>
  </si>
  <si>
    <t>Gas Oil Ratio SC (m3/m3)</t>
  </si>
  <si>
    <t>Gas Rate SC - Monthly (m3/day)</t>
  </si>
  <si>
    <t>Oil Rate SC - Monthly (m3/day)</t>
  </si>
  <si>
    <t>On-time Fraction</t>
  </si>
  <si>
    <t>Water Cut SC - %</t>
  </si>
  <si>
    <t>Water Rate SC - Monthly (m3/day)</t>
  </si>
  <si>
    <t>Well Bottom-hole Pressure (kPa)</t>
  </si>
  <si>
    <t>CO2 INJECTION-2</t>
  </si>
  <si>
    <t>Default-Field-INJ</t>
  </si>
  <si>
    <t>Number of Open Wells in Group</t>
  </si>
  <si>
    <t>Default-Field-PRO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</si>
</sst>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m/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">
    <dxf>
      <numFmt numFmtId="164" formatCode="yyyy/mmm/dd\ hh:mm:ss"/>
    </dxf>
    <dxf>
      <numFmt numFmtId="164" formatCode="yyyy/mmm/dd\ hh:mm:ss"/>
    </dxf>
    <dxf>
      <numFmt numFmtId="164" formatCode="yyyy/mmm/dd\ hh:mm:ss"/>
    </dxf>
    <dxf>
      <numFmt numFmtId="164" formatCode="yyyy/mmm/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0C6D0-EAC0-411F-847B-0187864C032D}" name="Table1" displayName="Table1" ref="A5:L17" totalsRowShown="0">
  <autoFilter ref="A5:L17" xr:uid="{A8D0C6D0-EAC0-411F-847B-0187864C032D}"/>
  <tableColumns count="12">
    <tableColumn id="1" xr3:uid="{045AA8C4-AFD9-4265-B419-393F7615333D}" name="Time (day)"/>
    <tableColumn id="2" xr3:uid="{BFDE544A-8627-4BCA-BE9E-CA2642FDC674}" name="Date" dataDxfId="3"/>
    <tableColumn id="3" xr3:uid="{D3D2C50B-22CC-4A46-A859-A3D40C1B2574}" name="Cumulative Gas SC (m3)"/>
    <tableColumn id="4" xr3:uid="{A688AA01-FA19-4706-93F1-C0B651CEF83D}" name="Cumulative Oil SC (m3)"/>
    <tableColumn id="5" xr3:uid="{72F67100-F7D9-45C4-834E-E970FB2A51C0}" name="Cumulative Water SC (m3)"/>
    <tableColumn id="6" xr3:uid="{D08B3A5B-A492-44A5-A2EF-E3C39D5C061D}" name="Gas Oil Ratio SC (m3/m3)"/>
    <tableColumn id="7" xr3:uid="{2671F6B9-4B1C-4155-B323-02C2CDD8076F}" name="Gas Rate SC - Monthly (m3/day)"/>
    <tableColumn id="8" xr3:uid="{A96B0EA6-0C25-440E-9965-516D4BD68EEE}" name="Oil Rate SC - Monthly (m3/day)"/>
    <tableColumn id="9" xr3:uid="{C6400415-817F-464D-86FA-753B3F597115}" name="On-time Fraction"/>
    <tableColumn id="10" xr3:uid="{FAA0CAC9-C081-4388-9FDA-DC0711B9A80A}" name="Water Cut SC - %"/>
    <tableColumn id="11" xr3:uid="{F763A2B9-B14B-4911-AF22-A96405E9D67B}" name="Water Rate SC - Monthly (m3/day)"/>
    <tableColumn id="12" xr3:uid="{9D4F24FC-F403-4499-8B07-7559F592B47F}" name="Well Bottom-hole Pressure (kPa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7DF62E-5A48-4992-A838-99D0FCFB0A68}" name="Table2" displayName="Table2" ref="A20:L32" totalsRowShown="0">
  <autoFilter ref="A20:L32" xr:uid="{D47DF62E-5A48-4992-A838-99D0FCFB0A68}"/>
  <tableColumns count="12">
    <tableColumn id="1" xr3:uid="{0D7E2CB5-0E7F-44AF-B793-F39FF03E53E8}" name="Time (day)"/>
    <tableColumn id="2" xr3:uid="{6402E690-5026-48D9-B6C1-A65B432609A6}" name="Date" dataDxfId="2"/>
    <tableColumn id="3" xr3:uid="{9B569AB7-FA6B-432C-8037-76EC57A96086}" name="Cumulative Gas SC (m3)"/>
    <tableColumn id="4" xr3:uid="{6ED2DE33-045F-4D43-8AAB-3ECE0CFA8ECC}" name="Cumulative Oil SC (m3)"/>
    <tableColumn id="5" xr3:uid="{5E5B5F14-6C0D-4B5E-B8DF-502302DC3ABC}" name="Cumulative Water SC (m3)"/>
    <tableColumn id="6" xr3:uid="{5621A22E-43A9-457F-876A-109F43C2A65A}" name="Gas Oil Ratio SC (m3/m3)"/>
    <tableColumn id="7" xr3:uid="{E4331DE4-989E-45B8-A3AE-5CD766D2E75F}" name="Gas Rate SC - Monthly (m3/day)"/>
    <tableColumn id="8" xr3:uid="{2B84647D-BAA4-4C8B-947A-763E3A26BAB1}" name="Oil Rate SC - Monthly (m3/day)"/>
    <tableColumn id="9" xr3:uid="{7A7C6198-7115-4764-82EA-04216E360199}" name="On-time Fraction"/>
    <tableColumn id="10" xr3:uid="{17257FB0-72C2-4F61-9BE8-7383B1DC84CE}" name="Water Cut SC - %"/>
    <tableColumn id="11" xr3:uid="{928DEAE5-1D79-4466-9E6F-3E46BBB59BF7}" name="Water Rate SC - Monthly (m3/day)"/>
    <tableColumn id="12" xr3:uid="{DECE39C9-441C-4E0C-9588-C6DFC142FE55}" name="Well Bottom-hole Pressure (kPa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6AEDA1-4005-4701-957D-C43470D6EA21}" name="Table3" displayName="Table3" ref="A35:L36" insertRow="1" totalsRowShown="0">
  <autoFilter ref="A35:L36" xr:uid="{546AEDA1-4005-4701-957D-C43470D6EA21}"/>
  <tableColumns count="12">
    <tableColumn id="1" xr3:uid="{64D62A2A-8D38-441E-9B2D-4608EA5E704C}" name="Time (day)"/>
    <tableColumn id="2" xr3:uid="{DA14462E-647C-4E99-B02B-E85D2ED800EA}" name="Date" dataDxfId="1"/>
    <tableColumn id="3" xr3:uid="{F889B5F7-EE05-47DA-9325-2CDE0A62BBFB}" name="Cumulative Gas SC (m3)"/>
    <tableColumn id="4" xr3:uid="{31941638-6271-4511-820C-08CE61052A3A}" name="Cumulative Oil SC (m3)"/>
    <tableColumn id="5" xr3:uid="{535409CC-4AFE-4E46-980B-B22191633706}" name="Cumulative Water SC (m3)"/>
    <tableColumn id="6" xr3:uid="{FEB3AD6F-23F8-4A5F-8D0F-CD3319A6BCE2}" name="Gas Oil Ratio SC (m3/m3)"/>
    <tableColumn id="7" xr3:uid="{63CC80D8-E1D2-4261-8CB3-59B444F6358E}" name="Gas Rate SC - Monthly (m3/day)"/>
    <tableColumn id="8" xr3:uid="{6ECC8DF9-FC58-40CB-9C57-FE53BC485BEB}" name="Number of Open Wells in Group"/>
    <tableColumn id="9" xr3:uid="{692F67ED-C716-4FC4-B752-918891947ABE}" name="Oil Rate SC - Monthly (m3/day)"/>
    <tableColumn id="10" xr3:uid="{37F0AEA0-F2D6-46A3-B737-66D98252756E}" name="On-time Fraction"/>
    <tableColumn id="11" xr3:uid="{C07753A2-3C01-4F1E-BFC9-E8341DCD7599}" name="Water Cut SC - %"/>
    <tableColumn id="12" xr3:uid="{3A3DDF34-3B27-45AB-B1E9-4CADB3161E5E}" name="Water Rate SC - Monthly (m3/day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73B515-F598-4A0C-8017-461B6AACD353}" name="Table4" displayName="Table4" ref="A38:L39" insertRow="1" totalsRowShown="0">
  <autoFilter ref="A38:L39" xr:uid="{7A73B515-F598-4A0C-8017-461B6AACD353}"/>
  <tableColumns count="12">
    <tableColumn id="1" xr3:uid="{96708E56-5358-422E-8DF9-ADFCA3393A95}" name="Time (day)"/>
    <tableColumn id="2" xr3:uid="{67C2A98A-12B5-4F42-A00B-A1A78F05CA45}" name="Date" dataDxfId="0"/>
    <tableColumn id="3" xr3:uid="{43F55191-46C6-4B4E-AFD9-90A7D8508D60}" name="Cumulative Gas SC (m3)"/>
    <tableColumn id="4" xr3:uid="{CAC4D573-DC1D-46B6-A6E4-5D9C808626E3}" name="Cumulative Oil SC (m3)"/>
    <tableColumn id="5" xr3:uid="{99AEE51C-09EF-49BD-940F-6D23D599A699}" name="Cumulative Water SC (m3)"/>
    <tableColumn id="6" xr3:uid="{DA03C922-20AF-47D7-91AA-04A78BEF6A3B}" name="Gas Oil Ratio SC (m3/m3)"/>
    <tableColumn id="7" xr3:uid="{B079DB76-A1FA-4419-ADEE-8DD1EFB4EDB9}" name="Gas Rate SC - Monthly (m3/day)"/>
    <tableColumn id="8" xr3:uid="{5F73ACF5-E8B2-4165-B5E7-37ABFDD69C8F}" name="Number of Open Wells in Group"/>
    <tableColumn id="9" xr3:uid="{D6301ABD-ABC7-4468-A89E-36C735000BA2}" name="Oil Rate SC - Monthly (m3/day)"/>
    <tableColumn id="10" xr3:uid="{0D7C56BE-5998-47C7-A795-56127C630512}" name="On-time Fraction"/>
    <tableColumn id="11" xr3:uid="{76E07FE9-CE91-4902-B5E7-C4EFC34624DC}" name="Water Cut SC - %"/>
    <tableColumn id="12" xr3:uid="{4BE5AA01-E4AA-47A4-92E3-BEB2D1972102}" name="Water Rate SC - Monthly (m3/da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E671-6EF3-4986-8F2B-47425B412AEE}">
  <dimension ref="A1:L39"/>
  <sheetViews>
    <sheetView tabSelected="1" workbookViewId="0"/>
  </sheetViews>
  <sheetFormatPr defaultRowHeight="15" x14ac:dyDescent="0.25"/>
  <cols>
    <col min="1" max="1" width="12.5703125" customWidth="1"/>
    <col min="2" max="2" width="19.85546875" bestFit="1" customWidth="1"/>
    <col min="3" max="3" width="25" customWidth="1"/>
    <col min="4" max="4" width="24.140625" customWidth="1"/>
    <col min="5" max="5" width="27" customWidth="1"/>
    <col min="6" max="6" width="25.7109375" customWidth="1"/>
    <col min="7" max="7" width="31.42578125" customWidth="1"/>
    <col min="8" max="8" width="31.7109375" customWidth="1"/>
    <col min="9" max="9" width="30.5703125" customWidth="1"/>
    <col min="10" max="10" width="18.42578125" customWidth="1"/>
    <col min="11" max="12" width="33.42578125" customWidth="1"/>
  </cols>
  <sheetData>
    <row r="1" spans="1:12" x14ac:dyDescent="0.25">
      <c r="A1" t="s">
        <v>0</v>
      </c>
    </row>
    <row r="4" spans="1:12" x14ac:dyDescent="0.25">
      <c r="A4" t="s">
        <v>1</v>
      </c>
    </row>
    <row r="5" spans="1:12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</row>
    <row r="6" spans="1:12" x14ac:dyDescent="0.25">
      <c r="A6">
        <v>-1.862645149230957E-9</v>
      </c>
      <c r="B6" s="1">
        <f>DATE(2023,1,1) + TIME(0,0,0)</f>
        <v>44927</v>
      </c>
      <c r="C6">
        <v>0</v>
      </c>
      <c r="G6">
        <v>0</v>
      </c>
      <c r="H6">
        <v>0</v>
      </c>
      <c r="I6">
        <v>0</v>
      </c>
      <c r="K6">
        <v>0</v>
      </c>
    </row>
    <row r="7" spans="1:12" x14ac:dyDescent="0.25">
      <c r="A7">
        <v>0</v>
      </c>
      <c r="B7" s="1">
        <f>DATE(2023,1,1) + TIME(0,0,0)</f>
        <v>44927</v>
      </c>
      <c r="C7">
        <v>0</v>
      </c>
      <c r="G7">
        <v>0</v>
      </c>
      <c r="H7">
        <v>0</v>
      </c>
      <c r="I7">
        <v>0</v>
      </c>
      <c r="K7">
        <v>0</v>
      </c>
    </row>
    <row r="8" spans="1:12" x14ac:dyDescent="0.25">
      <c r="A8">
        <v>31</v>
      </c>
      <c r="B8" s="1">
        <f>DATE(2023,2,1) + TIME(0,0,0)</f>
        <v>44958</v>
      </c>
      <c r="C8">
        <v>3858.97509765625</v>
      </c>
      <c r="D8">
        <v>0</v>
      </c>
      <c r="E8">
        <v>0</v>
      </c>
      <c r="F8">
        <v>0</v>
      </c>
      <c r="G8">
        <v>124.48307037353516</v>
      </c>
      <c r="H8">
        <v>0</v>
      </c>
      <c r="I8">
        <v>1</v>
      </c>
      <c r="J8">
        <v>0</v>
      </c>
      <c r="K8">
        <v>0</v>
      </c>
      <c r="L8">
        <v>53875</v>
      </c>
    </row>
    <row r="9" spans="1:12" x14ac:dyDescent="0.25">
      <c r="A9">
        <v>59</v>
      </c>
      <c r="B9" s="1">
        <f>DATE(2023,3,1) + TIME(0,0,0)</f>
        <v>44986</v>
      </c>
      <c r="C9">
        <v>4526.3125</v>
      </c>
      <c r="D9">
        <v>0</v>
      </c>
      <c r="E9">
        <v>0</v>
      </c>
      <c r="F9">
        <v>0</v>
      </c>
      <c r="G9">
        <v>23.833471298217773</v>
      </c>
      <c r="H9">
        <v>0</v>
      </c>
      <c r="I9">
        <v>1</v>
      </c>
      <c r="J9">
        <v>0</v>
      </c>
      <c r="K9">
        <v>0</v>
      </c>
      <c r="L9">
        <v>53875</v>
      </c>
    </row>
    <row r="10" spans="1:12" x14ac:dyDescent="0.25">
      <c r="A10">
        <v>90</v>
      </c>
      <c r="B10" s="1">
        <f>DATE(2023,4,1) + TIME(0,0,0)</f>
        <v>45017</v>
      </c>
      <c r="C10">
        <v>5121.52197265625</v>
      </c>
      <c r="D10">
        <v>0</v>
      </c>
      <c r="E10">
        <v>0</v>
      </c>
      <c r="F10">
        <v>0</v>
      </c>
      <c r="G10">
        <v>19.200309753417969</v>
      </c>
      <c r="H10">
        <v>0</v>
      </c>
      <c r="I10">
        <v>1</v>
      </c>
      <c r="J10">
        <v>0</v>
      </c>
      <c r="K10">
        <v>0</v>
      </c>
      <c r="L10">
        <v>53875</v>
      </c>
    </row>
    <row r="11" spans="1:12" x14ac:dyDescent="0.25">
      <c r="A11">
        <v>120</v>
      </c>
      <c r="B11" s="1">
        <f>DATE(2023,5,1) + TIME(0,0,0)</f>
        <v>45047</v>
      </c>
      <c r="C11">
        <v>5577.177734375</v>
      </c>
      <c r="D11">
        <v>0</v>
      </c>
      <c r="E11">
        <v>0</v>
      </c>
      <c r="F11">
        <v>0</v>
      </c>
      <c r="G11">
        <v>15.188520431518555</v>
      </c>
      <c r="H11">
        <v>0</v>
      </c>
      <c r="I11">
        <v>1</v>
      </c>
      <c r="J11">
        <v>0</v>
      </c>
      <c r="K11">
        <v>0</v>
      </c>
      <c r="L11">
        <v>53875</v>
      </c>
    </row>
    <row r="12" spans="1:12" x14ac:dyDescent="0.25">
      <c r="A12">
        <v>151</v>
      </c>
      <c r="B12" s="1">
        <f>DATE(2023,6,1) + TIME(0,0,0)</f>
        <v>45078</v>
      </c>
      <c r="C12">
        <v>5948.3740234375</v>
      </c>
      <c r="D12">
        <v>0</v>
      </c>
      <c r="E12">
        <v>0</v>
      </c>
      <c r="F12">
        <v>0</v>
      </c>
      <c r="G12">
        <v>11.974082946777344</v>
      </c>
      <c r="H12">
        <v>0</v>
      </c>
      <c r="I12">
        <v>1</v>
      </c>
      <c r="J12">
        <v>0</v>
      </c>
      <c r="K12">
        <v>0</v>
      </c>
      <c r="L12">
        <v>53875</v>
      </c>
    </row>
    <row r="13" spans="1:12" x14ac:dyDescent="0.25">
      <c r="A13">
        <v>181</v>
      </c>
      <c r="B13" s="1">
        <f>DATE(2023,7,1) + TIME(0,0,0)</f>
        <v>45108</v>
      </c>
      <c r="C13">
        <v>6224.10546875</v>
      </c>
      <c r="D13">
        <v>0</v>
      </c>
      <c r="E13">
        <v>0</v>
      </c>
      <c r="F13">
        <v>0</v>
      </c>
      <c r="G13">
        <v>9.1910362243652344</v>
      </c>
      <c r="H13">
        <v>0</v>
      </c>
      <c r="I13">
        <v>1</v>
      </c>
      <c r="J13">
        <v>0</v>
      </c>
      <c r="K13">
        <v>0</v>
      </c>
      <c r="L13">
        <v>53875</v>
      </c>
    </row>
    <row r="14" spans="1:12" x14ac:dyDescent="0.25">
      <c r="A14">
        <v>212</v>
      </c>
      <c r="B14" s="1">
        <f>DATE(2023,8,1) + TIME(0,0,0)</f>
        <v>45139</v>
      </c>
      <c r="C14">
        <v>6442.93017578125</v>
      </c>
      <c r="D14">
        <v>0</v>
      </c>
      <c r="E14">
        <v>0</v>
      </c>
      <c r="F14">
        <v>0</v>
      </c>
      <c r="G14">
        <v>7.0588693618774414</v>
      </c>
      <c r="H14">
        <v>0</v>
      </c>
      <c r="I14">
        <v>1</v>
      </c>
      <c r="J14">
        <v>0</v>
      </c>
      <c r="K14">
        <v>0</v>
      </c>
      <c r="L14">
        <v>53875</v>
      </c>
    </row>
    <row r="15" spans="1:12" x14ac:dyDescent="0.25">
      <c r="A15">
        <v>243</v>
      </c>
      <c r="B15" s="1">
        <f>DATE(2023,9,1) + TIME(0,0,0)</f>
        <v>45170</v>
      </c>
      <c r="C15">
        <v>6610.4521484375</v>
      </c>
      <c r="D15">
        <v>0</v>
      </c>
      <c r="E15">
        <v>0</v>
      </c>
      <c r="F15">
        <v>0</v>
      </c>
      <c r="G15">
        <v>5.4039287567138672</v>
      </c>
      <c r="H15">
        <v>0</v>
      </c>
      <c r="I15">
        <v>1</v>
      </c>
      <c r="J15">
        <v>0</v>
      </c>
      <c r="K15">
        <v>0</v>
      </c>
      <c r="L15">
        <v>53875</v>
      </c>
    </row>
    <row r="16" spans="1:12" x14ac:dyDescent="0.25">
      <c r="A16">
        <v>273</v>
      </c>
      <c r="B16" s="1">
        <f>DATE(2023,10,1) + TIME(0,0,0)</f>
        <v>45200</v>
      </c>
      <c r="C16">
        <v>6734.83544921875</v>
      </c>
      <c r="D16">
        <v>0</v>
      </c>
      <c r="E16">
        <v>0</v>
      </c>
      <c r="F16">
        <v>0</v>
      </c>
      <c r="G16">
        <v>4.146120548248291</v>
      </c>
      <c r="H16">
        <v>0</v>
      </c>
      <c r="I16">
        <v>1</v>
      </c>
      <c r="J16">
        <v>0</v>
      </c>
      <c r="K16">
        <v>0</v>
      </c>
      <c r="L16">
        <v>53875</v>
      </c>
    </row>
    <row r="17" spans="1:12" x14ac:dyDescent="0.25">
      <c r="A17">
        <v>304</v>
      </c>
      <c r="B17" s="1">
        <f>DATE(2023,11,1) + TIME(0,0,0)</f>
        <v>45231</v>
      </c>
      <c r="C17">
        <v>6804.01708984375</v>
      </c>
      <c r="D17">
        <v>0</v>
      </c>
      <c r="E17">
        <v>0</v>
      </c>
      <c r="F17">
        <v>0</v>
      </c>
      <c r="G17">
        <v>2.2316551208496094</v>
      </c>
      <c r="H17">
        <v>0</v>
      </c>
      <c r="I17">
        <v>1</v>
      </c>
      <c r="J17">
        <v>0</v>
      </c>
      <c r="K17">
        <v>0</v>
      </c>
      <c r="L17">
        <v>53875</v>
      </c>
    </row>
    <row r="19" spans="1:12" x14ac:dyDescent="0.25">
      <c r="A19" t="s">
        <v>14</v>
      </c>
    </row>
    <row r="20" spans="1:12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  <c r="J20" t="s">
        <v>11</v>
      </c>
      <c r="K20" t="s">
        <v>12</v>
      </c>
      <c r="L20" t="s">
        <v>13</v>
      </c>
    </row>
    <row r="21" spans="1:12" x14ac:dyDescent="0.25">
      <c r="A21">
        <v>-1.862645149230957E-9</v>
      </c>
      <c r="B21" s="1">
        <f>DATE(2023,1,1) + TIME(0,0,0)</f>
        <v>44927</v>
      </c>
      <c r="C21">
        <v>0</v>
      </c>
      <c r="G21">
        <v>0</v>
      </c>
      <c r="H21">
        <v>0</v>
      </c>
      <c r="I21">
        <v>0</v>
      </c>
      <c r="K21">
        <v>0</v>
      </c>
    </row>
    <row r="22" spans="1:12" x14ac:dyDescent="0.25">
      <c r="A22">
        <v>0</v>
      </c>
      <c r="B22" s="1">
        <f>DATE(2023,1,1) + TIME(0,0,0)</f>
        <v>44927</v>
      </c>
      <c r="C22">
        <v>0</v>
      </c>
      <c r="G22">
        <v>0</v>
      </c>
      <c r="H22">
        <v>0</v>
      </c>
      <c r="I22">
        <v>0</v>
      </c>
      <c r="K22">
        <v>0</v>
      </c>
    </row>
    <row r="23" spans="1:12" x14ac:dyDescent="0.25">
      <c r="A23">
        <v>31</v>
      </c>
      <c r="B23" s="1">
        <f>DATE(2023,2,1) + TIME(0,0,0)</f>
        <v>44958</v>
      </c>
      <c r="C23">
        <v>3844.068603515625</v>
      </c>
      <c r="D23">
        <v>0</v>
      </c>
      <c r="E23">
        <v>0</v>
      </c>
      <c r="F23">
        <v>0</v>
      </c>
      <c r="G23">
        <v>124.00221252441406</v>
      </c>
      <c r="H23">
        <v>0</v>
      </c>
      <c r="I23">
        <v>1</v>
      </c>
      <c r="J23">
        <v>0</v>
      </c>
      <c r="K23">
        <v>0</v>
      </c>
      <c r="L23">
        <v>53875</v>
      </c>
    </row>
    <row r="24" spans="1:12" x14ac:dyDescent="0.25">
      <c r="A24">
        <v>59</v>
      </c>
      <c r="B24" s="1">
        <f>DATE(2023,3,1) + TIME(0,0,0)</f>
        <v>44986</v>
      </c>
      <c r="C24">
        <v>4507.2998046875</v>
      </c>
      <c r="D24">
        <v>0</v>
      </c>
      <c r="E24">
        <v>0</v>
      </c>
      <c r="F24">
        <v>0</v>
      </c>
      <c r="G24">
        <v>23.686826705932617</v>
      </c>
      <c r="H24">
        <v>0</v>
      </c>
      <c r="I24">
        <v>1</v>
      </c>
      <c r="J24">
        <v>0</v>
      </c>
      <c r="K24">
        <v>0</v>
      </c>
      <c r="L24">
        <v>53875</v>
      </c>
    </row>
    <row r="25" spans="1:12" x14ac:dyDescent="0.25">
      <c r="A25">
        <v>90</v>
      </c>
      <c r="B25" s="1">
        <f>DATE(2023,4,1) + TIME(0,0,0)</f>
        <v>45017</v>
      </c>
      <c r="C25">
        <v>5106.95849609375</v>
      </c>
      <c r="D25">
        <v>0</v>
      </c>
      <c r="E25">
        <v>0</v>
      </c>
      <c r="F25">
        <v>0</v>
      </c>
      <c r="G25">
        <v>19.343832015991211</v>
      </c>
      <c r="H25">
        <v>0</v>
      </c>
      <c r="I25">
        <v>1</v>
      </c>
      <c r="J25">
        <v>0</v>
      </c>
      <c r="K25">
        <v>0</v>
      </c>
      <c r="L25">
        <v>53875</v>
      </c>
    </row>
    <row r="26" spans="1:12" x14ac:dyDescent="0.25">
      <c r="A26">
        <v>120</v>
      </c>
      <c r="B26" s="1">
        <f>DATE(2023,5,1) + TIME(0,0,0)</f>
        <v>45047</v>
      </c>
      <c r="C26">
        <v>5565.5185546875</v>
      </c>
      <c r="D26">
        <v>0</v>
      </c>
      <c r="E26">
        <v>0</v>
      </c>
      <c r="F26">
        <v>0</v>
      </c>
      <c r="G26">
        <v>15.28532886505127</v>
      </c>
      <c r="H26">
        <v>0</v>
      </c>
      <c r="I26">
        <v>1</v>
      </c>
      <c r="J26">
        <v>0</v>
      </c>
      <c r="K26">
        <v>0</v>
      </c>
      <c r="L26">
        <v>53875</v>
      </c>
    </row>
    <row r="27" spans="1:12" x14ac:dyDescent="0.25">
      <c r="A27">
        <v>151</v>
      </c>
      <c r="B27" s="1">
        <f>DATE(2023,6,1) + TIME(0,0,0)</f>
        <v>45078</v>
      </c>
      <c r="C27">
        <v>5939.8486328125</v>
      </c>
      <c r="D27">
        <v>0</v>
      </c>
      <c r="E27">
        <v>0</v>
      </c>
      <c r="F27">
        <v>0</v>
      </c>
      <c r="G27">
        <v>12.075164794921875</v>
      </c>
      <c r="H27">
        <v>0</v>
      </c>
      <c r="I27">
        <v>1</v>
      </c>
      <c r="J27">
        <v>0</v>
      </c>
      <c r="K27">
        <v>0</v>
      </c>
      <c r="L27">
        <v>53875</v>
      </c>
    </row>
    <row r="28" spans="1:12" x14ac:dyDescent="0.25">
      <c r="A28">
        <v>181</v>
      </c>
      <c r="B28" s="1">
        <f>DATE(2023,7,1) + TIME(0,0,0)</f>
        <v>45108</v>
      </c>
      <c r="C28">
        <v>6219.7998046875</v>
      </c>
      <c r="D28">
        <v>0</v>
      </c>
      <c r="E28">
        <v>0</v>
      </c>
      <c r="F28">
        <v>0</v>
      </c>
      <c r="G28">
        <v>9.3317146301269531</v>
      </c>
      <c r="H28">
        <v>0</v>
      </c>
      <c r="I28">
        <v>1</v>
      </c>
      <c r="J28">
        <v>0</v>
      </c>
      <c r="K28">
        <v>0</v>
      </c>
      <c r="L28">
        <v>53875</v>
      </c>
    </row>
    <row r="29" spans="1:12" x14ac:dyDescent="0.25">
      <c r="A29">
        <v>212</v>
      </c>
      <c r="B29" s="1">
        <f>DATE(2023,8,1) + TIME(0,0,0)</f>
        <v>45139</v>
      </c>
      <c r="C29">
        <v>6444.7568359375</v>
      </c>
      <c r="D29">
        <v>0</v>
      </c>
      <c r="E29">
        <v>0</v>
      </c>
      <c r="F29">
        <v>0</v>
      </c>
      <c r="G29">
        <v>7.256676197052002</v>
      </c>
      <c r="H29">
        <v>0</v>
      </c>
      <c r="I29">
        <v>1</v>
      </c>
      <c r="J29">
        <v>0</v>
      </c>
      <c r="K29">
        <v>0</v>
      </c>
      <c r="L29">
        <v>53875</v>
      </c>
    </row>
    <row r="30" spans="1:12" x14ac:dyDescent="0.25">
      <c r="A30">
        <v>243</v>
      </c>
      <c r="B30" s="1">
        <f>DATE(2023,9,1) + TIME(0,0,0)</f>
        <v>45170</v>
      </c>
      <c r="C30">
        <v>6618.728515625</v>
      </c>
      <c r="D30">
        <v>0</v>
      </c>
      <c r="E30">
        <v>0</v>
      </c>
      <c r="F30">
        <v>0</v>
      </c>
      <c r="G30">
        <v>5.6119852066040039</v>
      </c>
      <c r="H30">
        <v>0</v>
      </c>
      <c r="I30">
        <v>1</v>
      </c>
      <c r="J30">
        <v>0</v>
      </c>
      <c r="K30">
        <v>0</v>
      </c>
      <c r="L30">
        <v>53875</v>
      </c>
    </row>
    <row r="31" spans="1:12" x14ac:dyDescent="0.25">
      <c r="A31">
        <v>273</v>
      </c>
      <c r="B31" s="1">
        <f>DATE(2023,10,1) + TIME(0,0,0)</f>
        <v>45200</v>
      </c>
      <c r="C31">
        <v>6746.88623046875</v>
      </c>
      <c r="D31">
        <v>0</v>
      </c>
      <c r="E31">
        <v>0</v>
      </c>
      <c r="F31">
        <v>0</v>
      </c>
      <c r="G31">
        <v>4.2719345092773438</v>
      </c>
      <c r="H31">
        <v>0</v>
      </c>
      <c r="I31">
        <v>1</v>
      </c>
      <c r="J31">
        <v>0</v>
      </c>
      <c r="K31">
        <v>0</v>
      </c>
      <c r="L31">
        <v>53875</v>
      </c>
    </row>
    <row r="32" spans="1:12" x14ac:dyDescent="0.25">
      <c r="A32">
        <v>304</v>
      </c>
      <c r="B32" s="1">
        <f>DATE(2023,11,1) + TIME(0,0,0)</f>
        <v>45231</v>
      </c>
      <c r="C32">
        <v>6817.48583984375</v>
      </c>
      <c r="D32">
        <v>0</v>
      </c>
      <c r="E32">
        <v>0</v>
      </c>
      <c r="F32">
        <v>0</v>
      </c>
      <c r="G32">
        <v>2.2773997783660889</v>
      </c>
      <c r="H32">
        <v>0</v>
      </c>
      <c r="I32">
        <v>1</v>
      </c>
      <c r="J32">
        <v>0</v>
      </c>
      <c r="K32">
        <v>0</v>
      </c>
      <c r="L32">
        <v>53875</v>
      </c>
    </row>
    <row r="34" spans="1:12" x14ac:dyDescent="0.25">
      <c r="A34" t="s">
        <v>15</v>
      </c>
    </row>
    <row r="35" spans="1:12" x14ac:dyDescent="0.25">
      <c r="A35" t="s">
        <v>2</v>
      </c>
      <c r="B35" s="1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16</v>
      </c>
      <c r="I35" t="s">
        <v>9</v>
      </c>
      <c r="J35" t="s">
        <v>10</v>
      </c>
      <c r="K35" t="s">
        <v>11</v>
      </c>
      <c r="L35" t="s">
        <v>12</v>
      </c>
    </row>
    <row r="36" spans="1:12" x14ac:dyDescent="0.25">
      <c r="B36" s="1"/>
    </row>
    <row r="37" spans="1:12" x14ac:dyDescent="0.25">
      <c r="A37" t="s">
        <v>17</v>
      </c>
    </row>
    <row r="38" spans="1:12" x14ac:dyDescent="0.25">
      <c r="A38" t="s">
        <v>2</v>
      </c>
      <c r="B38" s="1" t="s">
        <v>3</v>
      </c>
      <c r="C38" t="s">
        <v>4</v>
      </c>
      <c r="D38" t="s">
        <v>5</v>
      </c>
      <c r="E38" t="s">
        <v>6</v>
      </c>
      <c r="F38" t="s">
        <v>7</v>
      </c>
      <c r="G38" t="s">
        <v>8</v>
      </c>
      <c r="H38" t="s">
        <v>16</v>
      </c>
      <c r="I38" t="s">
        <v>9</v>
      </c>
      <c r="J38" t="s">
        <v>10</v>
      </c>
      <c r="K38" t="s">
        <v>11</v>
      </c>
      <c r="L38" t="s">
        <v>12</v>
      </c>
    </row>
    <row r="39" spans="1:12" x14ac:dyDescent="0.25">
      <c r="B39" s="1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F157-1E5F-4833-BDF3-988C9375C7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ccs1 Pra.sr3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PRAKASH</dc:creator>
  <cp:lastModifiedBy>PRAVEEN PRAKASH</cp:lastModifiedBy>
  <dcterms:created xsi:type="dcterms:W3CDTF">2025-12-15T11:20:28Z</dcterms:created>
  <dcterms:modified xsi:type="dcterms:W3CDTF">2025-12-15T11:20:56Z</dcterms:modified>
</cp:coreProperties>
</file>